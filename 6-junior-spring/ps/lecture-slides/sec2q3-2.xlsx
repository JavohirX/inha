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a\Downloads\Telegram Desktop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9" i="1"/>
</calcChain>
</file>

<file path=xl/sharedStrings.xml><?xml version="1.0" encoding="utf-8"?>
<sst xmlns="http://schemas.openxmlformats.org/spreadsheetml/2006/main" count="11" uniqueCount="11">
  <si>
    <t>Sample A</t>
  </si>
  <si>
    <t>Sample B</t>
  </si>
  <si>
    <t>Ssize</t>
  </si>
  <si>
    <t>Smean</t>
  </si>
  <si>
    <t>SSD</t>
  </si>
  <si>
    <t>alpha</t>
  </si>
  <si>
    <t>t_alpha/2,v</t>
  </si>
  <si>
    <t>left side=</t>
  </si>
  <si>
    <t>right side=</t>
  </si>
  <si>
    <t>v=</t>
  </si>
  <si>
    <t>interval=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</si>
</sst>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H14"/>
  <sheetViews>
    <sheetView tabSelected="1" workbookViewId="0">
      <selection activeCell="F7" sqref="F7"/>
    </sheetView>
  </sheetViews>
  <sheetFormatPr defaultRowHeight="23.25" x14ac:dyDescent="0.35"/>
  <cols>
    <col min="6" max="6" width="10.25" bestFit="1" customWidth="1"/>
  </cols>
  <sheetData>
    <row r="3" spans="6:8" x14ac:dyDescent="0.35">
      <c r="G3" t="s">
        <v>0</v>
      </c>
      <c r="H3" t="s">
        <v>1</v>
      </c>
    </row>
    <row r="4" spans="6:8" x14ac:dyDescent="0.35">
      <c r="F4" t="s">
        <v>2</v>
      </c>
      <c r="G4">
        <v>41</v>
      </c>
      <c r="H4">
        <v>41</v>
      </c>
    </row>
    <row r="5" spans="6:8" x14ac:dyDescent="0.35">
      <c r="F5" t="s">
        <v>3</v>
      </c>
      <c r="G5">
        <v>3.04</v>
      </c>
      <c r="H5">
        <v>3.12</v>
      </c>
    </row>
    <row r="6" spans="6:8" x14ac:dyDescent="0.35">
      <c r="F6" t="s">
        <v>4</v>
      </c>
      <c r="G6">
        <v>0.124</v>
      </c>
      <c r="H6">
        <v>0.13700000000000001</v>
      </c>
    </row>
    <row r="9" spans="6:8" x14ac:dyDescent="0.35">
      <c r="F9" t="s">
        <v>9</v>
      </c>
      <c r="G9">
        <f>40*(G6^2+H6^2)^2/(G6^4+H6^4)</f>
        <v>79.21776709287245</v>
      </c>
      <c r="H9">
        <v>79</v>
      </c>
    </row>
    <row r="10" spans="6:8" x14ac:dyDescent="0.35">
      <c r="F10" t="s">
        <v>5</v>
      </c>
      <c r="G10">
        <v>0.01</v>
      </c>
    </row>
    <row r="11" spans="6:8" x14ac:dyDescent="0.35">
      <c r="F11" t="s">
        <v>6</v>
      </c>
      <c r="G11">
        <f>_xlfn.T.INV(1-G10/2,H9)</f>
        <v>2.6395046274532201</v>
      </c>
    </row>
    <row r="12" spans="6:8" x14ac:dyDescent="0.35">
      <c r="F12" t="s">
        <v>10</v>
      </c>
      <c r="G12">
        <f>G11*SQRT(G6^2/41+H6^2/41)</f>
        <v>7.6171771841138533E-2</v>
      </c>
    </row>
    <row r="13" spans="6:8" x14ac:dyDescent="0.35">
      <c r="F13" t="s">
        <v>7</v>
      </c>
      <c r="G13">
        <f>G5-H5-G12</f>
        <v>-0.15617177184113862</v>
      </c>
    </row>
    <row r="14" spans="6:8" x14ac:dyDescent="0.35">
      <c r="F14" t="s">
        <v>8</v>
      </c>
      <c r="G14">
        <f>G5-H5+G12</f>
        <v>-3.828228158861538E-3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2022-04-29T10:42:27Z</dcterms:created>
  <dcterms:modified xsi:type="dcterms:W3CDTF">2022-04-29T11:14:20Z</dcterms:modified>
</cp:coreProperties>
</file>